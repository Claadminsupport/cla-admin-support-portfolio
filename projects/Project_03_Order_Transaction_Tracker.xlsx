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Lists &amp; Controls" sheetId="3" state="hidden" r:id="rId3"/>
    <sheet xmlns:r="http://schemas.openxmlformats.org/officeDocument/2006/relationships" name="Order Tracker" sheetId="4" state="visible" r:id="rId4"/>
    <sheet xmlns:r="http://schemas.openxmlformats.org/officeDocument/2006/relationships" name="Follow-Up Tracker" sheetId="5" state="visible" r:id="rId5"/>
  </sheets>
  <definedNames>
    <definedName name="_xlnm._FilterDatabase" localSheetId="3" hidden="1">'Order Tracker'!$A$4:$M$14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, yyyy"/>
  </numFmts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38543A"/>
      <sz val="10"/>
    </font>
    <font>
      <b val="1"/>
      <color rgb="0038543A"/>
    </font>
    <font>
      <b val="1"/>
      <color rgb="00FFFFFF"/>
    </font>
    <font>
      <b val="1"/>
      <color rgb="0038543A"/>
      <sz val="9"/>
    </font>
    <font>
      <b val="1"/>
      <color rgb="0038543A"/>
      <sz val="20"/>
    </font>
    <font>
      <b val="1"/>
      <color rgb="0038543A"/>
      <sz val="13"/>
    </font>
    <font>
      <i val="1"/>
      <color rgb="00777777"/>
      <sz val="8"/>
    </font>
  </fonts>
  <fills count="6">
    <fill>
      <patternFill/>
    </fill>
    <fill>
      <patternFill patternType="gray125"/>
    </fill>
    <fill>
      <patternFill patternType="solid">
        <fgColor rgb="0038543A"/>
      </patternFill>
    </fill>
    <fill>
      <patternFill patternType="solid">
        <fgColor rgb="0071856B"/>
      </patternFill>
    </fill>
    <fill>
      <patternFill patternType="solid">
        <fgColor rgb="00F7F4EA"/>
      </patternFill>
    </fill>
    <fill>
      <patternFill patternType="solid">
        <fgColor rgb="00E9EEE5"/>
      </patternFill>
    </fill>
  </fills>
  <borders count="2">
    <border>
      <left/>
      <right/>
      <top/>
      <bottom/>
      <diagonal/>
    </border>
    <border>
      <bottom style="thin">
        <color rgb="00D5D9D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5" fillId="5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0" borderId="0" pivotButton="0" quotePrefix="0" xfId="0"/>
    <xf numFmtId="0" fontId="4" fillId="3" borderId="0" pivotButton="0" quotePrefix="0" xfId="0"/>
    <xf numFmtId="0" fontId="8" fillId="0" borderId="0" applyAlignment="1" pivotButton="0" quotePrefix="0" xfId="0">
      <alignment wrapText="1"/>
    </xf>
    <xf numFmtId="0" fontId="4" fillId="3" borderId="0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'Dashboard'!$A$13:$A$18</f>
            </numRef>
          </cat>
          <val>
            <numRef>
              <f>'Dashboard'!$B$13:$B$18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32" customWidth="1" min="4" max="4"/>
  </cols>
  <sheetData>
    <row r="1" ht="32" customHeight="1">
      <c r="A1" s="1" t="inlineStr">
        <is>
          <t>PROJECT 03 — ORDER &amp; TRANSACTION TRACKER</t>
        </is>
      </c>
    </row>
    <row r="2">
      <c r="A2" s="2" t="inlineStr">
        <is>
          <t>Portfolio Sample | Fictional Business Scenario: Bloom &amp; Co.</t>
        </is>
      </c>
    </row>
    <row r="4" ht="36" customHeight="1">
      <c r="A4" s="3" t="inlineStr">
        <is>
          <t>Purpose</t>
        </is>
      </c>
      <c r="B4" s="4" t="inlineStr">
        <is>
          <t>Centralize customer orders, payment status, fulfillment, delivery, and follow-ups.</t>
        </is>
      </c>
    </row>
    <row r="5" ht="36" customHeight="1">
      <c r="A5" s="3" t="inlineStr">
        <is>
          <t>Workbook Contents</t>
        </is>
      </c>
      <c r="B5" s="4" t="inlineStr">
        <is>
          <t>Order Tracker • Dashboard • Follow-Up Tracker • Lists &amp; Controls</t>
        </is>
      </c>
    </row>
    <row r="6" ht="36" customHeight="1">
      <c r="A6" s="3" t="inlineStr">
        <is>
          <t>Skills Demonstrated</t>
        </is>
      </c>
      <c r="B6" s="4" t="inlineStr">
        <is>
          <t>Order Administration • Data Entry • Spreadsheet Management • Follow-Up • Reporting • Workflow Organization</t>
        </is>
      </c>
    </row>
    <row r="7" ht="36" customHeight="1">
      <c r="A7" s="3" t="inlineStr">
        <is>
          <t>Portfolio Note</t>
        </is>
      </c>
      <c r="B7" s="4" t="inlineStr">
        <is>
          <t>Fictional sample created to demonstrate capabilities; not presented as client work.</t>
        </is>
      </c>
    </row>
  </sheetData>
  <mergeCells count="6">
    <mergeCell ref="A1:D1"/>
    <mergeCell ref="B5:D5"/>
    <mergeCell ref="B4:D4"/>
    <mergeCell ref="A2:D2"/>
    <mergeCell ref="B7:D7"/>
    <mergeCell ref="B6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ORDER OPERATIONS DASHBOARD</t>
        </is>
      </c>
    </row>
    <row r="2">
      <c r="A2" s="2" t="inlineStr">
        <is>
          <t>Quick view of order volume, payments, fulfillment, and follow-ups</t>
        </is>
      </c>
    </row>
    <row r="4" ht="20" customHeight="1">
      <c r="A4" s="5" t="inlineStr">
        <is>
          <t>TOTAL ORDERS</t>
        </is>
      </c>
      <c r="C4" s="5" t="inlineStr">
        <is>
          <t>PENDING PAYMENTS</t>
        </is>
      </c>
      <c r="E4" s="5" t="inlineStr">
        <is>
          <t>IN PROCESS</t>
        </is>
      </c>
      <c r="G4" s="5" t="inlineStr">
        <is>
          <t>READY TO SHIP</t>
        </is>
      </c>
    </row>
    <row r="5" ht="28" customHeight="1">
      <c r="A5" s="6">
        <f>COUNTA('Order Tracker'!A5:A200)</f>
        <v/>
      </c>
      <c r="C5" s="6">
        <f>COUNTIF('Order Tracker'!G5:G200,"Pending")</f>
        <v/>
      </c>
      <c r="E5" s="6">
        <f>COUNTIF('Order Tracker'!H5:H200,"Processing")</f>
        <v/>
      </c>
      <c r="G5" s="6">
        <f>COUNTIF('Order Tracker'!H5:H200,"Ready to Ship")</f>
        <v/>
      </c>
    </row>
    <row r="7" ht="20" customHeight="1">
      <c r="A7" s="5" t="inlineStr">
        <is>
          <t>SHIPPED</t>
        </is>
      </c>
      <c r="C7" s="5" t="inlineStr">
        <is>
          <t>IN TRANSIT</t>
        </is>
      </c>
      <c r="E7" s="5" t="inlineStr">
        <is>
          <t>COMPLETED</t>
        </is>
      </c>
      <c r="G7" s="5" t="inlineStr">
        <is>
          <t>FOLLOW-UP TODAY</t>
        </is>
      </c>
    </row>
    <row r="8" ht="28" customHeight="1">
      <c r="A8" s="6">
        <f>COUNTIF('Order Tracker'!H5:H200,"Shipped")</f>
        <v/>
      </c>
      <c r="C8" s="6">
        <f>COUNTIF('Order Tracker'!M5:M200,"In Transit")</f>
        <v/>
      </c>
      <c r="E8" s="6">
        <f>COUNTIF('Order Tracker'!H5:H200,"Completed")</f>
        <v/>
      </c>
      <c r="G8" s="6">
        <f>COUNTIF('Order Tracker'!L5:L200,"Follow Up Today")</f>
        <v/>
      </c>
    </row>
    <row r="11">
      <c r="A11" s="7" t="inlineStr">
        <is>
          <t>ORDER STATUS SUMMARY</t>
        </is>
      </c>
    </row>
    <row r="12">
      <c r="A12" s="8" t="inlineStr">
        <is>
          <t>Status</t>
        </is>
      </c>
      <c r="B12" s="8" t="inlineStr">
        <is>
          <t>Count</t>
        </is>
      </c>
    </row>
    <row r="13">
      <c r="A13" t="inlineStr">
        <is>
          <t>New</t>
        </is>
      </c>
      <c r="B13">
        <f>COUNTIF('Order Tracker'!H5:H200,A13)</f>
        <v/>
      </c>
    </row>
    <row r="14">
      <c r="A14" t="inlineStr">
        <is>
          <t>Processing</t>
        </is>
      </c>
      <c r="B14">
        <f>COUNTIF('Order Tracker'!H5:H200,A14)</f>
        <v/>
      </c>
    </row>
    <row r="15">
      <c r="A15" t="inlineStr">
        <is>
          <t>Ready to Ship</t>
        </is>
      </c>
      <c r="B15">
        <f>COUNTIF('Order Tracker'!H5:H200,A15)</f>
        <v/>
      </c>
    </row>
    <row r="16">
      <c r="A16" t="inlineStr">
        <is>
          <t>Shipped</t>
        </is>
      </c>
      <c r="B16">
        <f>COUNTIF('Order Tracker'!H5:H200,A16)</f>
        <v/>
      </c>
    </row>
    <row r="17">
      <c r="A17" t="inlineStr">
        <is>
          <t>Completed</t>
        </is>
      </c>
      <c r="B17">
        <f>COUNTIF('Order Tracker'!H5:H200,A17)</f>
        <v/>
      </c>
    </row>
    <row r="18">
      <c r="A18" t="inlineStr">
        <is>
          <t>Cancelled</t>
        </is>
      </c>
      <c r="B18">
        <f>COUNTIF('Order Tracker'!H5:H200,A18)</f>
        <v/>
      </c>
    </row>
    <row r="28">
      <c r="A28" s="9" t="inlineStr">
        <is>
          <t>Portfolio note: fictional sample data demonstrating order administration, spreadsheet management, reporting, and follow-up skills.</t>
        </is>
      </c>
    </row>
    <row r="29"/>
  </sheetData>
  <mergeCells count="19">
    <mergeCell ref="C5:D5"/>
    <mergeCell ref="E5:F5"/>
    <mergeCell ref="A1:H1"/>
    <mergeCell ref="G8:H8"/>
    <mergeCell ref="E8:F8"/>
    <mergeCell ref="C4:D4"/>
    <mergeCell ref="E4:F4"/>
    <mergeCell ref="A7:B7"/>
    <mergeCell ref="G7:H7"/>
    <mergeCell ref="A28:H29"/>
    <mergeCell ref="A2:H2"/>
    <mergeCell ref="A5:B5"/>
    <mergeCell ref="G5:H5"/>
    <mergeCell ref="A8:B8"/>
    <mergeCell ref="C8:D8"/>
    <mergeCell ref="A4:B4"/>
    <mergeCell ref="G4:H4"/>
    <mergeCell ref="C7:D7"/>
    <mergeCell ref="E7:F7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</t>
        </is>
      </c>
      <c r="B1" t="inlineStr">
        <is>
          <t>Order Status</t>
        </is>
      </c>
      <c r="C1" t="inlineStr">
        <is>
          <t>Delivery Status</t>
        </is>
      </c>
      <c r="D1" t="inlineStr">
        <is>
          <t>Follow-Up Status</t>
        </is>
      </c>
      <c r="E1" t="inlineStr">
        <is>
          <t>Priority</t>
        </is>
      </c>
    </row>
    <row r="2">
      <c r="A2" t="inlineStr">
        <is>
          <t>Paid</t>
        </is>
      </c>
      <c r="B2" t="inlineStr">
        <is>
          <t>New</t>
        </is>
      </c>
      <c r="C2" t="inlineStr">
        <is>
          <t>Not Shipped</t>
        </is>
      </c>
      <c r="D2" t="inlineStr">
        <is>
          <t>No Action</t>
        </is>
      </c>
      <c r="E2" t="inlineStr">
        <is>
          <t>Normal</t>
        </is>
      </c>
    </row>
    <row r="3">
      <c r="A3" t="inlineStr">
        <is>
          <t>Pending</t>
        </is>
      </c>
      <c r="B3" t="inlineStr">
        <is>
          <t>Processing</t>
        </is>
      </c>
      <c r="C3" t="inlineStr">
        <is>
          <t>In Transit</t>
        </is>
      </c>
      <c r="D3" t="inlineStr">
        <is>
          <t>Follow Up Today</t>
        </is>
      </c>
      <c r="E3" t="inlineStr">
        <is>
          <t>High</t>
        </is>
      </c>
    </row>
    <row r="4">
      <c r="A4" t="inlineStr">
        <is>
          <t>Failed</t>
        </is>
      </c>
      <c r="B4" t="inlineStr">
        <is>
          <t>Ready to Ship</t>
        </is>
      </c>
      <c r="C4" t="inlineStr">
        <is>
          <t>Delivered</t>
        </is>
      </c>
      <c r="D4" t="inlineStr">
        <is>
          <t>Follow Up Later</t>
        </is>
      </c>
      <c r="E4" t="inlineStr">
        <is>
          <t>Urgent</t>
        </is>
      </c>
    </row>
    <row r="5">
      <c r="A5" t="inlineStr">
        <is>
          <t>Refunded</t>
        </is>
      </c>
      <c r="B5" t="inlineStr">
        <is>
          <t>Shipped</t>
        </is>
      </c>
      <c r="C5" t="inlineStr">
        <is>
          <t>Delayed</t>
        </is>
      </c>
      <c r="D5" t="inlineStr">
        <is>
          <t>Completed</t>
        </is>
      </c>
    </row>
    <row r="6">
      <c r="B6" t="inlineStr">
        <is>
          <t>Completed</t>
        </is>
      </c>
    </row>
    <row r="7">
      <c r="B7" t="inlineStr">
        <is>
          <t>Cancelled</t>
        </is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30" customWidth="1" min="4" max="4"/>
    <col width="8" customWidth="1" min="5" max="5"/>
    <col width="14" customWidth="1" min="6" max="6"/>
    <col width="14" customWidth="1" min="7" max="7"/>
    <col width="18" customWidth="1" min="8" max="8"/>
    <col width="15" customWidth="1" min="9" max="9"/>
    <col width="18" customWidth="1" min="10" max="10"/>
    <col width="20" customWidth="1" min="11" max="11"/>
    <col width="18" customWidth="1" min="12" max="12"/>
    <col width="16" customWidth="1" min="13" max="13"/>
  </cols>
  <sheetData>
    <row r="1" ht="32" customHeight="1">
      <c r="A1" s="1" t="inlineStr">
        <is>
          <t>ORDER &amp; TRANSACTION TRACKER</t>
        </is>
      </c>
    </row>
    <row r="2">
      <c r="A2" s="2" t="inlineStr">
        <is>
          <t>Centralized view of customer orders and fulfillment progress</t>
        </is>
      </c>
    </row>
    <row r="4">
      <c r="A4" s="10" t="inlineStr">
        <is>
          <t>Order ID</t>
        </is>
      </c>
      <c r="B4" s="10" t="inlineStr">
        <is>
          <t>Order Date</t>
        </is>
      </c>
      <c r="C4" s="10" t="inlineStr">
        <is>
          <t>Customer</t>
        </is>
      </c>
      <c r="D4" s="10" t="inlineStr">
        <is>
          <t>Product</t>
        </is>
      </c>
      <c r="E4" s="10" t="inlineStr">
        <is>
          <t>Qty</t>
        </is>
      </c>
      <c r="F4" s="10" t="inlineStr">
        <is>
          <t>Amount</t>
        </is>
      </c>
      <c r="G4" s="10" t="inlineStr">
        <is>
          <t>Payment</t>
        </is>
      </c>
      <c r="H4" s="10" t="inlineStr">
        <is>
          <t>Order Status</t>
        </is>
      </c>
      <c r="I4" s="10" t="inlineStr">
        <is>
          <t>Ship Date</t>
        </is>
      </c>
      <c r="J4" s="10" t="inlineStr">
        <is>
          <t>Courier</t>
        </is>
      </c>
      <c r="K4" s="10" t="inlineStr">
        <is>
          <t>Tracking No.</t>
        </is>
      </c>
      <c r="L4" s="10" t="inlineStr">
        <is>
          <t>Follow-Up</t>
        </is>
      </c>
      <c r="M4" s="10" t="inlineStr">
        <is>
          <t>Delivery</t>
        </is>
      </c>
    </row>
    <row r="5">
      <c r="A5" s="11" t="inlineStr">
        <is>
          <t>ORD-1001</t>
        </is>
      </c>
      <c r="B5" s="12" t="n">
        <v>46266</v>
      </c>
      <c r="C5" s="11" t="inlineStr">
        <is>
          <t>Anna Cruz</t>
        </is>
      </c>
      <c r="D5" s="11" t="inlineStr">
        <is>
          <t>Personalized Gift Box</t>
        </is>
      </c>
      <c r="E5" s="11" t="n">
        <v>1</v>
      </c>
      <c r="F5" s="13" t="n">
        <v>1250</v>
      </c>
      <c r="G5" s="11" t="inlineStr">
        <is>
          <t>Paid</t>
        </is>
      </c>
      <c r="H5" s="11" t="inlineStr">
        <is>
          <t>Completed</t>
        </is>
      </c>
      <c r="I5" s="12" t="n">
        <v>46267</v>
      </c>
      <c r="J5" s="11" t="inlineStr">
        <is>
          <t>J&amp;T Express</t>
        </is>
      </c>
      <c r="K5" s="11" t="inlineStr">
        <is>
          <t>JT10001</t>
        </is>
      </c>
      <c r="L5" s="11" t="inlineStr">
        <is>
          <t>No Action</t>
        </is>
      </c>
      <c r="M5" s="11" t="inlineStr">
        <is>
          <t>Delivered</t>
        </is>
      </c>
    </row>
    <row r="6">
      <c r="A6" s="14" t="inlineStr">
        <is>
          <t>ORD-1002</t>
        </is>
      </c>
      <c r="B6" s="15" t="n">
        <v>46266</v>
      </c>
      <c r="C6" s="14" t="inlineStr">
        <is>
          <t>Mark Lee</t>
        </is>
      </c>
      <c r="D6" s="14" t="inlineStr">
        <is>
          <t>Birthday Hamper</t>
        </is>
      </c>
      <c r="E6" s="14" t="n">
        <v>2</v>
      </c>
      <c r="F6" s="16" t="n">
        <v>1800</v>
      </c>
      <c r="G6" s="14" t="inlineStr">
        <is>
          <t>Paid</t>
        </is>
      </c>
      <c r="H6" s="14" t="inlineStr">
        <is>
          <t>Shipped</t>
        </is>
      </c>
      <c r="I6" s="15" t="n">
        <v>46268</v>
      </c>
      <c r="J6" s="14" t="inlineStr">
        <is>
          <t>LBC</t>
        </is>
      </c>
      <c r="K6" s="14" t="inlineStr">
        <is>
          <t>LBC20002</t>
        </is>
      </c>
      <c r="L6" s="14" t="inlineStr">
        <is>
          <t>No Action</t>
        </is>
      </c>
      <c r="M6" s="14" t="inlineStr">
        <is>
          <t>In Transit</t>
        </is>
      </c>
    </row>
    <row r="7">
      <c r="A7" s="11" t="inlineStr">
        <is>
          <t>ORD-1003</t>
        </is>
      </c>
      <c r="B7" s="12" t="n">
        <v>46267</v>
      </c>
      <c r="C7" s="11" t="inlineStr">
        <is>
          <t>Jane Kim</t>
        </is>
      </c>
      <c r="D7" s="11" t="inlineStr">
        <is>
          <t>Flower &amp; Gift Set</t>
        </is>
      </c>
      <c r="E7" s="11" t="n">
        <v>1</v>
      </c>
      <c r="F7" s="13" t="n">
        <v>950</v>
      </c>
      <c r="G7" s="11" t="inlineStr">
        <is>
          <t>Pending</t>
        </is>
      </c>
      <c r="H7" s="11" t="inlineStr">
        <is>
          <t>New</t>
        </is>
      </c>
      <c r="I7" s="11" t="inlineStr"/>
      <c r="J7" s="11" t="inlineStr"/>
      <c r="K7" s="11" t="inlineStr"/>
      <c r="L7" s="11" t="inlineStr">
        <is>
          <t>Follow Up Today</t>
        </is>
      </c>
      <c r="M7" s="11" t="inlineStr">
        <is>
          <t>Not Shipped</t>
        </is>
      </c>
    </row>
    <row r="8">
      <c r="A8" s="14" t="inlineStr">
        <is>
          <t>ORD-1004</t>
        </is>
      </c>
      <c r="B8" s="15" t="n">
        <v>46267</v>
      </c>
      <c r="C8" s="14" t="inlineStr">
        <is>
          <t>Paul Santos</t>
        </is>
      </c>
      <c r="D8" s="14" t="inlineStr">
        <is>
          <t>Anniversary Box</t>
        </is>
      </c>
      <c r="E8" s="14" t="n">
        <v>1</v>
      </c>
      <c r="F8" s="16" t="n">
        <v>2100</v>
      </c>
      <c r="G8" s="14" t="inlineStr">
        <is>
          <t>Paid</t>
        </is>
      </c>
      <c r="H8" s="14" t="inlineStr">
        <is>
          <t>Processing</t>
        </is>
      </c>
      <c r="I8" s="14" t="inlineStr"/>
      <c r="J8" s="14" t="inlineStr"/>
      <c r="K8" s="14" t="inlineStr"/>
      <c r="L8" s="14" t="inlineStr">
        <is>
          <t>No Action</t>
        </is>
      </c>
      <c r="M8" s="14" t="inlineStr">
        <is>
          <t>Not Shipped</t>
        </is>
      </c>
    </row>
    <row r="9">
      <c r="A9" s="11" t="inlineStr">
        <is>
          <t>ORD-1005</t>
        </is>
      </c>
      <c r="B9" s="12" t="n">
        <v>46268</v>
      </c>
      <c r="C9" s="11" t="inlineStr">
        <is>
          <t>Mia Tan</t>
        </is>
      </c>
      <c r="D9" s="11" t="inlineStr">
        <is>
          <t>Mini Gift Set</t>
        </is>
      </c>
      <c r="E9" s="11" t="n">
        <v>3</v>
      </c>
      <c r="F9" s="13" t="n">
        <v>2250</v>
      </c>
      <c r="G9" s="11" t="inlineStr">
        <is>
          <t>Paid</t>
        </is>
      </c>
      <c r="H9" s="11" t="inlineStr">
        <is>
          <t>Ready to Ship</t>
        </is>
      </c>
      <c r="I9" s="12" t="n">
        <v>46269</v>
      </c>
      <c r="J9" s="11" t="inlineStr"/>
      <c r="K9" s="11" t="inlineStr"/>
      <c r="L9" s="11" t="inlineStr">
        <is>
          <t>No Action</t>
        </is>
      </c>
      <c r="M9" s="11" t="inlineStr">
        <is>
          <t>Not Shipped</t>
        </is>
      </c>
    </row>
    <row r="10">
      <c r="A10" s="14" t="inlineStr">
        <is>
          <t>ORD-1006</t>
        </is>
      </c>
      <c r="B10" s="15" t="n">
        <v>46268</v>
      </c>
      <c r="C10" s="14" t="inlineStr">
        <is>
          <t>Leo Garcia</t>
        </is>
      </c>
      <c r="D10" s="14" t="inlineStr">
        <is>
          <t>Corporate Gift Pack</t>
        </is>
      </c>
      <c r="E10" s="14" t="n">
        <v>5</v>
      </c>
      <c r="F10" s="16" t="n">
        <v>4750</v>
      </c>
      <c r="G10" s="14" t="inlineStr">
        <is>
          <t>Pending</t>
        </is>
      </c>
      <c r="H10" s="14" t="inlineStr">
        <is>
          <t>New</t>
        </is>
      </c>
      <c r="I10" s="14" t="inlineStr"/>
      <c r="J10" s="14" t="inlineStr"/>
      <c r="K10" s="14" t="inlineStr"/>
      <c r="L10" s="14" t="inlineStr">
        <is>
          <t>Follow Up Today</t>
        </is>
      </c>
      <c r="M10" s="14" t="inlineStr">
        <is>
          <t>Not Shipped</t>
        </is>
      </c>
    </row>
    <row r="11">
      <c r="A11" s="11" t="inlineStr">
        <is>
          <t>ORD-1007</t>
        </is>
      </c>
      <c r="B11" s="12" t="n">
        <v>46269</v>
      </c>
      <c r="C11" s="11" t="inlineStr">
        <is>
          <t>Sofia Reyes</t>
        </is>
      </c>
      <c r="D11" s="11" t="inlineStr">
        <is>
          <t>Self-Care Box</t>
        </is>
      </c>
      <c r="E11" s="11" t="n">
        <v>1</v>
      </c>
      <c r="F11" s="13" t="n">
        <v>1600</v>
      </c>
      <c r="G11" s="11" t="inlineStr">
        <is>
          <t>Paid</t>
        </is>
      </c>
      <c r="H11" s="11" t="inlineStr">
        <is>
          <t>Shipped</t>
        </is>
      </c>
      <c r="I11" s="12" t="n">
        <v>46269</v>
      </c>
      <c r="J11" s="11" t="inlineStr">
        <is>
          <t>J&amp;T Express</t>
        </is>
      </c>
      <c r="K11" s="11" t="inlineStr">
        <is>
          <t>JT10007</t>
        </is>
      </c>
      <c r="L11" s="11" t="inlineStr">
        <is>
          <t>No Action</t>
        </is>
      </c>
      <c r="M11" s="11" t="inlineStr">
        <is>
          <t>In Transit</t>
        </is>
      </c>
    </row>
    <row r="12">
      <c r="A12" s="14" t="inlineStr">
        <is>
          <t>ORD-1008</t>
        </is>
      </c>
      <c r="B12" s="15" t="n">
        <v>46269</v>
      </c>
      <c r="C12" s="14" t="inlineStr">
        <is>
          <t>Daniel Wong</t>
        </is>
      </c>
      <c r="D12" s="14" t="inlineStr">
        <is>
          <t>Thank You Box</t>
        </is>
      </c>
      <c r="E12" s="14" t="n">
        <v>2</v>
      </c>
      <c r="F12" s="16" t="n">
        <v>1400</v>
      </c>
      <c r="G12" s="14" t="inlineStr">
        <is>
          <t>Paid</t>
        </is>
      </c>
      <c r="H12" s="14" t="inlineStr">
        <is>
          <t>Processing</t>
        </is>
      </c>
      <c r="I12" s="14" t="inlineStr"/>
      <c r="J12" s="14" t="inlineStr"/>
      <c r="K12" s="14" t="inlineStr"/>
      <c r="L12" s="14" t="inlineStr">
        <is>
          <t>No Action</t>
        </is>
      </c>
      <c r="M12" s="14" t="inlineStr">
        <is>
          <t>Not Shipped</t>
        </is>
      </c>
    </row>
    <row r="13">
      <c r="A13" s="11" t="inlineStr">
        <is>
          <t>ORD-1009</t>
        </is>
      </c>
      <c r="B13" s="12" t="n">
        <v>46269</v>
      </c>
      <c r="C13" s="11" t="inlineStr">
        <is>
          <t>Chloe Lim</t>
        </is>
      </c>
      <c r="D13" s="11" t="inlineStr">
        <is>
          <t>Welcome Gift Set</t>
        </is>
      </c>
      <c r="E13" s="11" t="n">
        <v>1</v>
      </c>
      <c r="F13" s="13" t="n">
        <v>1150</v>
      </c>
      <c r="G13" s="11" t="inlineStr">
        <is>
          <t>Failed</t>
        </is>
      </c>
      <c r="H13" s="11" t="inlineStr">
        <is>
          <t>Cancelled</t>
        </is>
      </c>
      <c r="I13" s="11" t="inlineStr"/>
      <c r="J13" s="11" t="inlineStr"/>
      <c r="K13" s="11" t="inlineStr"/>
      <c r="L13" s="11" t="inlineStr">
        <is>
          <t>Completed</t>
        </is>
      </c>
      <c r="M13" s="11" t="inlineStr">
        <is>
          <t>Not Shipped</t>
        </is>
      </c>
    </row>
    <row r="14">
      <c r="A14" s="14" t="inlineStr">
        <is>
          <t>ORD-1010</t>
        </is>
      </c>
      <c r="B14" s="15" t="n">
        <v>46269</v>
      </c>
      <c r="C14" s="14" t="inlineStr">
        <is>
          <t>Ethan Cruz</t>
        </is>
      </c>
      <c r="D14" s="14" t="inlineStr">
        <is>
          <t>Holiday Gift Box</t>
        </is>
      </c>
      <c r="E14" s="14" t="n">
        <v>4</v>
      </c>
      <c r="F14" s="16" t="n">
        <v>3600</v>
      </c>
      <c r="G14" s="14" t="inlineStr">
        <is>
          <t>Paid</t>
        </is>
      </c>
      <c r="H14" s="14" t="inlineStr">
        <is>
          <t>Ready to Ship</t>
        </is>
      </c>
      <c r="I14" s="14" t="inlineStr"/>
      <c r="J14" s="14" t="inlineStr"/>
      <c r="K14" s="14" t="inlineStr"/>
      <c r="L14" s="14" t="inlineStr">
        <is>
          <t>Follow Up Later</t>
        </is>
      </c>
      <c r="M14" s="14" t="inlineStr">
        <is>
          <t>Not Shipped</t>
        </is>
      </c>
    </row>
  </sheetData>
  <autoFilter ref="A4:M14"/>
  <mergeCells count="2">
    <mergeCell ref="A2:M2"/>
    <mergeCell ref="A1:M1"/>
  </mergeCells>
  <dataValidations count="4">
    <dataValidation sqref="G5:G200" showDropDown="0" showInputMessage="0" showErrorMessage="0" allowBlank="1" type="list">
      <formula1>'Lists &amp; Controls'!$A$2:$A$5</formula1>
    </dataValidation>
    <dataValidation sqref="H5:H200" showDropDown="0" showInputMessage="0" showErrorMessage="0" allowBlank="1" type="list">
      <formula1>'Lists &amp; Controls'!$B$2:$B$7</formula1>
    </dataValidation>
    <dataValidation sqref="M5:M200" showDropDown="0" showInputMessage="0" showErrorMessage="0" allowBlank="1" type="list">
      <formula1>'Lists &amp; Controls'!$C$2:$C$5</formula1>
    </dataValidation>
    <dataValidation sqref="L5:L200" showDropDown="0" showInputMessage="0" showErrorMessage="0" allowBlank="1" type="list">
      <formula1>'Lists &amp; Controls'!$D$2:$D$5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5" customWidth="1" min="4" max="4"/>
    <col width="15" customWidth="1" min="5" max="5"/>
    <col width="20" customWidth="1" min="6" max="6"/>
    <col width="42" customWidth="1" min="7" max="7"/>
  </cols>
  <sheetData>
    <row r="1" ht="32" customHeight="1">
      <c r="A1" s="1" t="inlineStr">
        <is>
          <t>FOLLOW-UP TRACKER</t>
        </is>
      </c>
    </row>
    <row r="2">
      <c r="A2" s="2" t="inlineStr">
        <is>
          <t>Dedicated view for actions that keep orders and transactions moving</t>
        </is>
      </c>
    </row>
    <row r="4">
      <c r="A4" s="10" t="inlineStr">
        <is>
          <t>Follow-Up Date</t>
        </is>
      </c>
      <c r="B4" s="10" t="inlineStr">
        <is>
          <t>Order ID</t>
        </is>
      </c>
      <c r="C4" s="10" t="inlineStr">
        <is>
          <t>Customer</t>
        </is>
      </c>
      <c r="D4" s="10" t="inlineStr">
        <is>
          <t>Reason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Notes</t>
        </is>
      </c>
    </row>
    <row r="5">
      <c r="A5" s="15" t="n">
        <v>46269</v>
      </c>
      <c r="B5" s="14" t="inlineStr">
        <is>
          <t>ORD-1003</t>
        </is>
      </c>
      <c r="C5" s="14" t="inlineStr">
        <is>
          <t>Jane Kim</t>
        </is>
      </c>
      <c r="D5" s="14" t="inlineStr">
        <is>
          <t>Payment pending</t>
        </is>
      </c>
      <c r="E5" s="14" t="inlineStr">
        <is>
          <t>Urgent</t>
        </is>
      </c>
      <c r="F5" s="14" t="inlineStr">
        <is>
          <t>Follow Up Today</t>
        </is>
      </c>
      <c r="G5" s="14" t="inlineStr">
        <is>
          <t>Awaiting payment confirmation.</t>
        </is>
      </c>
    </row>
    <row r="6">
      <c r="A6" s="15" t="n">
        <v>46269</v>
      </c>
      <c r="B6" s="14" t="inlineStr">
        <is>
          <t>ORD-1006</t>
        </is>
      </c>
      <c r="C6" s="14" t="inlineStr">
        <is>
          <t>Leo Garcia</t>
        </is>
      </c>
      <c r="D6" s="14" t="inlineStr">
        <is>
          <t>Payment pending</t>
        </is>
      </c>
      <c r="E6" s="14" t="inlineStr">
        <is>
          <t>High</t>
        </is>
      </c>
      <c r="F6" s="14" t="inlineStr">
        <is>
          <t>Follow Up Today</t>
        </is>
      </c>
      <c r="G6" s="14" t="inlineStr">
        <is>
          <t>Confirm payment before fulfillment.</t>
        </is>
      </c>
    </row>
    <row r="7">
      <c r="A7" s="15" t="n">
        <v>46270</v>
      </c>
      <c r="B7" s="14" t="inlineStr">
        <is>
          <t>ORD-1010</t>
        </is>
      </c>
      <c r="C7" s="14" t="inlineStr">
        <is>
          <t>Ethan Cruz</t>
        </is>
      </c>
      <c r="D7" s="14" t="inlineStr">
        <is>
          <t>Shipping preparation</t>
        </is>
      </c>
      <c r="E7" s="14" t="inlineStr">
        <is>
          <t>Normal</t>
        </is>
      </c>
      <c r="F7" s="14" t="inlineStr">
        <is>
          <t>Follow Up Later</t>
        </is>
      </c>
      <c r="G7" s="14" t="inlineStr">
        <is>
          <t>Check readiness for dispatch.</t>
        </is>
      </c>
    </row>
    <row r="8">
      <c r="A8" s="15" t="n">
        <v>46270</v>
      </c>
      <c r="B8" s="14" t="inlineStr">
        <is>
          <t>ORD-1008</t>
        </is>
      </c>
      <c r="C8" s="14" t="inlineStr">
        <is>
          <t>Daniel Wong</t>
        </is>
      </c>
      <c r="D8" s="14" t="inlineStr">
        <is>
          <t>Order progress</t>
        </is>
      </c>
      <c r="E8" s="14" t="inlineStr">
        <is>
          <t>Normal</t>
        </is>
      </c>
      <c r="F8" s="14" t="inlineStr">
        <is>
          <t>No Action</t>
        </is>
      </c>
      <c r="G8" s="14" t="inlineStr">
        <is>
          <t>Review after processing update.</t>
        </is>
      </c>
    </row>
  </sheetData>
  <mergeCells count="2">
    <mergeCell ref="A2:G2"/>
    <mergeCell ref="A1:G1"/>
  </mergeCells>
  <dataValidations count="2">
    <dataValidation sqref="F5:F200" showDropDown="0" showInputMessage="0" showErrorMessage="0" allowBlank="0" type="list">
      <formula1>'Lists &amp; Controls'!$D$2:$D$5</formula1>
    </dataValidation>
    <dataValidation sqref="E5:E200" showDropDown="0" showInputMessage="0" showErrorMessage="0" allowBlank="0" type="list">
      <formula1>'Lists &amp; Controls'!$E$2:$E$4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2026-09-04T08:04:45Z</dcterms:created>
  <dcterms:modified xmlns:dcterms="http://purl.org/dc/terms/" xmlns:xsi="http://www.w3.org/2001/XMLSchema-instance" xsi:type="dcterms:W3CDTF">2026-09-04T08:04:45Z</dcterms:modified>
</cp:coreProperties>
</file>